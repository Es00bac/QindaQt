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Attend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"/>
  </numFmts>
  <fonts count="3">
    <font>
      <name val="Calibri"/>
      <family val="2"/>
      <color theme="1"/>
      <sz val="11"/>
      <scheme val="minor"/>
    </font>
    <font>
      <name val="DejaVu Sans"/>
      <color rgb="00172F3D"/>
      <sz val="10"/>
    </font>
    <font>
      <name val="DejaVu Sans"/>
      <b val="1"/>
      <color rgb="00172F3D"/>
      <sz val="10"/>
    </font>
  </fonts>
  <fills count="6">
    <fill>
      <patternFill/>
    </fill>
    <fill>
      <patternFill patternType="gray125"/>
    </fill>
    <fill>
      <patternFill patternType="solid">
        <fgColor rgb="00CDECE3"/>
      </patternFill>
    </fill>
    <fill>
      <patternFill patternType="solid">
        <fgColor rgb="00DCEFE6"/>
      </patternFill>
    </fill>
    <fill>
      <patternFill patternType="solid">
        <fgColor rgb="00FBE8DA"/>
      </patternFill>
    </fill>
    <fill>
      <patternFill patternType="solid">
        <fgColor rgb="00F2F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0" applyAlignment="1" pivotButton="0" quotePrefix="0" xfId="0">
      <alignment vertical="center"/>
    </xf>
    <xf numFmtId="164" fontId="2" fillId="2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164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164" fontId="2" fillId="4" borderId="0" applyAlignment="1" pivotButton="0" quotePrefix="0" xfId="0">
      <alignment vertical="center"/>
    </xf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3" customWidth="1" min="3" max="3"/>
    <col width="14" customWidth="1" min="4" max="4"/>
    <col width="14" customWidth="1" min="5" max="5"/>
    <col width="15" customWidth="1" min="6" max="6"/>
  </cols>
  <sheetData>
    <row r="1" ht="30" customHeight="1">
      <c r="A1" s="1" t="inlineStr">
        <is>
          <t>SIGNAL GARDEN  /  BUDGET</t>
        </is>
      </c>
      <c r="B1" s="2" t="n"/>
      <c r="C1" s="2" t="n"/>
      <c r="D1" s="3" t="n"/>
      <c r="E1" s="3" t="n"/>
      <c r="F1" s="3" t="n"/>
    </row>
    <row r="2">
      <c r="A2" s="4" t="inlineStr">
        <is>
          <t>One evening · 320 guests · numbers update from the assumptions below</t>
        </is>
      </c>
      <c r="B2" s="3" t="n"/>
      <c r="C2" s="3" t="n"/>
      <c r="D2" s="3" t="n"/>
      <c r="E2" s="3" t="n"/>
      <c r="F2" s="3" t="n"/>
    </row>
    <row r="3">
      <c r="A3" s="4" t="n"/>
      <c r="B3" s="3" t="n"/>
      <c r="C3" s="3" t="n"/>
      <c r="D3" s="3" t="n"/>
      <c r="E3" s="3" t="n"/>
      <c r="F3" s="3" t="n"/>
    </row>
    <row r="4" ht="23" customHeight="1">
      <c r="A4" s="1" t="inlineStr">
        <is>
          <t>Cost line</t>
        </is>
      </c>
      <c r="B4" s="2" t="inlineStr">
        <is>
          <t>Qty</t>
        </is>
      </c>
      <c r="C4" s="2" t="inlineStr">
        <is>
          <t>Unit $</t>
        </is>
      </c>
      <c r="D4" s="2" t="inlineStr">
        <is>
          <t>Plan $</t>
        </is>
      </c>
      <c r="E4" s="2" t="inlineStr">
        <is>
          <t>Actual $</t>
        </is>
      </c>
      <c r="F4" s="2" t="inlineStr">
        <is>
          <t>Variance $</t>
        </is>
      </c>
    </row>
    <row r="5">
      <c r="A5" s="4" t="inlineStr">
        <is>
          <t>Lighting and power</t>
        </is>
      </c>
      <c r="B5" s="3" t="n">
        <v>1</v>
      </c>
      <c r="C5" s="3" t="n">
        <v>2250</v>
      </c>
      <c r="D5" s="3">
        <f>B5*C5</f>
        <v/>
      </c>
      <c r="E5" s="3" t="n">
        <v>2190</v>
      </c>
      <c r="F5" s="3">
        <f>D5-E5</f>
        <v/>
      </c>
    </row>
    <row r="6">
      <c r="A6" s="5" t="inlineStr">
        <is>
          <t>Artist fees</t>
        </is>
      </c>
      <c r="B6" s="6" t="n">
        <v>4</v>
      </c>
      <c r="C6" s="6" t="n">
        <v>650</v>
      </c>
      <c r="D6" s="6">
        <f>B6*C6</f>
        <v/>
      </c>
      <c r="E6" s="6" t="n">
        <v>2600</v>
      </c>
      <c r="F6" s="6">
        <f>D6-E6</f>
        <v/>
      </c>
    </row>
    <row r="7">
      <c r="A7" s="4" t="inlineStr">
        <is>
          <t>Access and wayfinding</t>
        </is>
      </c>
      <c r="B7" s="3" t="n">
        <v>1</v>
      </c>
      <c r="C7" s="3" t="n">
        <v>850</v>
      </c>
      <c r="D7" s="3">
        <f>B7*C7</f>
        <v/>
      </c>
      <c r="E7" s="3" t="n">
        <v>720</v>
      </c>
      <c r="F7" s="3">
        <f>D7-E7</f>
        <v/>
      </c>
    </row>
    <row r="8">
      <c r="A8" s="5" t="inlineStr">
        <is>
          <t>Site and weather cover</t>
        </is>
      </c>
      <c r="B8" s="6" t="n">
        <v>1</v>
      </c>
      <c r="C8" s="6" t="n">
        <v>900</v>
      </c>
      <c r="D8" s="6">
        <f>B8*C8</f>
        <v/>
      </c>
      <c r="E8" s="6" t="n">
        <v>980</v>
      </c>
      <c r="F8" s="6">
        <f>D8-E8</f>
        <v/>
      </c>
    </row>
    <row r="9">
      <c r="A9" s="4" t="inlineStr">
        <is>
          <t>Print and promotion</t>
        </is>
      </c>
      <c r="B9" s="3" t="n">
        <v>1</v>
      </c>
      <c r="C9" s="3" t="n">
        <v>600</v>
      </c>
      <c r="D9" s="3">
        <f>B9*C9</f>
        <v/>
      </c>
      <c r="E9" s="3" t="n">
        <v>470</v>
      </c>
      <c r="F9" s="3">
        <f>D9-E9</f>
        <v/>
      </c>
    </row>
    <row r="10">
      <c r="A10" s="5" t="inlineStr">
        <is>
          <t>Volunteer meals</t>
        </is>
      </c>
      <c r="B10" s="6" t="n">
        <v>24</v>
      </c>
      <c r="C10" s="6" t="n">
        <v>18</v>
      </c>
      <c r="D10" s="6">
        <f>B10*C10</f>
        <v/>
      </c>
      <c r="E10" s="6" t="n">
        <v>396</v>
      </c>
      <c r="F10" s="6">
        <f>D10-E10</f>
        <v/>
      </c>
    </row>
    <row r="11">
      <c r="A11" s="7" t="inlineStr">
        <is>
          <t>TOTAL COST</t>
        </is>
      </c>
      <c r="B11" s="8" t="n"/>
      <c r="C11" s="8" t="n"/>
      <c r="D11" s="8">
        <f>SUM(D5:D10)</f>
        <v/>
      </c>
      <c r="E11" s="8">
        <f>SUM(E5:E10)</f>
        <v/>
      </c>
      <c r="F11" s="8">
        <f>SUM(F5:F10)</f>
        <v/>
      </c>
    </row>
    <row r="12">
      <c r="A12" s="4" t="n"/>
      <c r="B12" s="3" t="n"/>
      <c r="C12" s="3" t="n"/>
      <c r="D12" s="3" t="n"/>
      <c r="E12" s="3" t="n"/>
      <c r="F12" s="3" t="n"/>
    </row>
    <row r="13" ht="23" customHeight="1">
      <c r="A13" s="1" t="inlineStr">
        <is>
          <t>REVENUE MODEL</t>
        </is>
      </c>
      <c r="B13" s="2" t="n"/>
      <c r="C13" s="2" t="n"/>
      <c r="D13" s="3" t="n"/>
      <c r="E13" s="3" t="n"/>
      <c r="F13" s="3" t="n"/>
    </row>
    <row r="14" ht="23" customHeight="1">
      <c r="A14" s="1" t="inlineStr">
        <is>
          <t>Ticket</t>
        </is>
      </c>
      <c r="B14" s="2" t="inlineStr">
        <is>
          <t>Guests</t>
        </is>
      </c>
      <c r="C14" s="2" t="inlineStr">
        <is>
          <t>Revenue $</t>
        </is>
      </c>
      <c r="D14" s="3" t="n"/>
      <c r="E14" s="3" t="n"/>
      <c r="F14" s="3" t="n"/>
    </row>
    <row r="15">
      <c r="A15" s="4" t="inlineStr">
        <is>
          <t>Standard</t>
        </is>
      </c>
      <c r="B15" s="3" t="n">
        <v>240</v>
      </c>
      <c r="C15" s="3">
        <f>B15*28</f>
        <v/>
      </c>
      <c r="D15" s="3" t="n"/>
      <c r="E15" s="3" t="n"/>
      <c r="F15" s="3" t="n"/>
    </row>
    <row r="16">
      <c r="A16" s="4" t="inlineStr">
        <is>
          <t>Pay-what-you-can</t>
        </is>
      </c>
      <c r="B16" s="3" t="n">
        <v>80</v>
      </c>
      <c r="C16" s="3">
        <f>B16*15</f>
        <v/>
      </c>
      <c r="D16" s="3" t="n"/>
      <c r="E16" s="3" t="n"/>
      <c r="F16" s="3" t="n"/>
    </row>
    <row r="17">
      <c r="A17" s="4" t="inlineStr">
        <is>
          <t>Community sponsor</t>
        </is>
      </c>
      <c r="B17" s="3" t="n"/>
      <c r="C17" s="3" t="n">
        <v>2200</v>
      </c>
      <c r="D17" s="3" t="n"/>
      <c r="E17" s="3" t="n"/>
      <c r="F17" s="3" t="n"/>
    </row>
    <row r="18" ht="23" customHeight="1">
      <c r="A18" s="7" t="inlineStr">
        <is>
          <t>TOTAL INCOME</t>
        </is>
      </c>
      <c r="B18" s="8" t="n"/>
      <c r="C18" s="8">
        <f>SUM(C15:C17)</f>
        <v/>
      </c>
      <c r="D18" s="3" t="n"/>
      <c r="E18" s="3" t="n"/>
      <c r="F18" s="3" t="n"/>
    </row>
    <row r="19" ht="23" customHeight="1">
      <c r="A19" s="9" t="inlineStr">
        <is>
          <t>PROJECT BALANCE</t>
        </is>
      </c>
      <c r="B19" s="10" t="n"/>
      <c r="C19" s="10">
        <f>C18-D11</f>
        <v/>
      </c>
      <c r="D19" s="3" t="n"/>
      <c r="E19" s="3" t="n"/>
      <c r="F19" s="3" t="n"/>
    </row>
    <row r="20">
      <c r="A20" s="4" t="n"/>
      <c r="B20" s="3" t="n"/>
      <c r="C20" s="3" t="n"/>
      <c r="D20" s="3" t="n"/>
      <c r="E20" s="3" t="n"/>
      <c r="F20" s="3" t="n"/>
    </row>
    <row r="21">
      <c r="A21" s="4" t="inlineStr">
        <is>
          <t>Editable assumptions feed the formulas. Actuals are a rehearsal estimate.</t>
        </is>
      </c>
      <c r="B21" s="3" t="n"/>
      <c r="C21" s="3" t="n"/>
      <c r="D21" s="3" t="n"/>
      <c r="E21" s="3" t="n"/>
      <c r="F21" s="3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8" customWidth="1" min="3" max="3"/>
    <col width="22" customWidth="1" min="4" max="4"/>
    <col width="21" customWidth="1" min="5" max="5"/>
  </cols>
  <sheetData>
    <row r="1">
      <c r="A1" s="11" t="inlineStr">
        <is>
          <t>SIGNAL GARDEN  /  ATTENDANCE</t>
        </is>
      </c>
      <c r="B1" s="11" t="n"/>
      <c r="C1" s="11" t="n"/>
      <c r="D1" s="11" t="n"/>
      <c r="E1" s="11" t="n"/>
    </row>
    <row r="2">
      <c r="A2" s="12" t="inlineStr">
        <is>
          <t>Case</t>
        </is>
      </c>
      <c r="B2" s="12" t="inlineStr">
        <is>
          <t>Guests</t>
        </is>
      </c>
      <c r="C2" s="12" t="inlineStr">
        <is>
          <t>Avg ticket $</t>
        </is>
      </c>
      <c r="D2" s="12" t="inlineStr">
        <is>
          <t>Ticket income $</t>
        </is>
      </c>
      <c r="E2" s="12" t="inlineStr">
        <is>
          <t>With sponsor $</t>
        </is>
      </c>
    </row>
    <row r="3">
      <c r="A3" s="11" t="inlineStr">
        <is>
          <t>Quiet night</t>
        </is>
      </c>
      <c r="B3" s="11" t="n">
        <v>220</v>
      </c>
      <c r="C3" s="11" t="n">
        <v>23</v>
      </c>
      <c r="D3" s="11">
        <f>B3*C3</f>
        <v/>
      </c>
      <c r="E3" s="11">
        <f>D3+Budget!C17</f>
        <v/>
      </c>
    </row>
    <row r="4">
      <c r="A4" s="11" t="inlineStr">
        <is>
          <t>Plan</t>
        </is>
      </c>
      <c r="B4" s="11" t="n">
        <v>320</v>
      </c>
      <c r="C4" s="11" t="n">
        <v>25</v>
      </c>
      <c r="D4" s="11">
        <f>B4*C4</f>
        <v/>
      </c>
      <c r="E4" s="11">
        <f>D4+Budget!C17</f>
        <v/>
      </c>
    </row>
    <row r="5">
      <c r="A5" s="11" t="inlineStr">
        <is>
          <t>Full house</t>
        </is>
      </c>
      <c r="B5" s="11" t="n">
        <v>400</v>
      </c>
      <c r="C5" s="11" t="n">
        <v>26</v>
      </c>
      <c r="D5" s="11">
        <f>B5*C5</f>
        <v/>
      </c>
      <c r="E5" s="11">
        <f>D5+Budget!C17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2026-09-26T22:24:24Z</dcterms:created>
  <dcterms:modified xmlns:dcterms="http://purl.org/dc/terms/" xmlns:xsi="http://www.w3.org/2001/XMLSchema-instance" xsi:type="dcterms:W3CDTF">2026-09-26T22:24:24Z</dcterms:modified>
</cp:coreProperties>
</file>